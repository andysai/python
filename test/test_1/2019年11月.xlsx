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5625\Desktop\"/>
    </mc:Choice>
  </mc:AlternateContent>
  <bookViews>
    <workbookView xWindow="0" yWindow="0" windowWidth="20490" windowHeight="7785"/>
  </bookViews>
  <sheets>
    <sheet name="19年10月" sheetId="16" r:id="rId1"/>
  </sheets>
  <calcPr calcId="162913"/>
</workbook>
</file>

<file path=xl/calcChain.xml><?xml version="1.0" encoding="utf-8"?>
<calcChain xmlns="http://schemas.openxmlformats.org/spreadsheetml/2006/main">
  <c r="H22" i="16" l="1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28" i="16" l="1"/>
</calcChain>
</file>

<file path=xl/sharedStrings.xml><?xml version="1.0" encoding="utf-8"?>
<sst xmlns="http://schemas.openxmlformats.org/spreadsheetml/2006/main" count="36" uniqueCount="17">
  <si>
    <t>序号</t>
  </si>
  <si>
    <t>项目</t>
  </si>
  <si>
    <t>数量</t>
  </si>
  <si>
    <t>固定服务费</t>
  </si>
  <si>
    <t>浮动服务费</t>
  </si>
  <si>
    <t>月服务费用
（含税，单位：元）</t>
  </si>
  <si>
    <t>当月运行天数</t>
  </si>
  <si>
    <t>固定服务费
结算（元/柜）</t>
  </si>
  <si>
    <t>机架超出
电量(A)</t>
  </si>
  <si>
    <t>浮动服务费结算（元/A）</t>
  </si>
  <si>
    <t>10A机柜</t>
  </si>
  <si>
    <t>ODF架（U）</t>
  </si>
  <si>
    <t>13A机柜</t>
  </si>
  <si>
    <t>合计</t>
  </si>
  <si>
    <t>月度结算费用（含税）</t>
  </si>
  <si>
    <t>甲方签字盖章：                                乙方签字盖章：</t>
  </si>
  <si>
    <t>2019年11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</si>
</sst>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7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9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1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 wrapText="1"/>
    </xf>
    <xf numFmtId="177" fontId="2" fillId="0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zoomScale="70" zoomScaleNormal="70" workbookViewId="0">
      <selection activeCell="J6" sqref="J6"/>
    </sheetView>
  </sheetViews>
  <sheetFormatPr defaultColWidth="9" defaultRowHeight="13.5" x14ac:dyDescent="0.15"/>
  <cols>
    <col min="1" max="1" width="7.625" style="1" customWidth="1"/>
    <col min="2" max="2" width="11.625" style="1" customWidth="1"/>
    <col min="3" max="3" width="8.5" style="2" customWidth="1"/>
    <col min="4" max="4" width="12.125" style="2" customWidth="1"/>
    <col min="5" max="5" width="13.625" style="1" customWidth="1"/>
    <col min="6" max="6" width="9.875" style="1" customWidth="1"/>
    <col min="7" max="7" width="10.875" style="1" customWidth="1"/>
    <col min="8" max="8" width="14.25" style="3" customWidth="1"/>
    <col min="9" max="9" width="15.625" style="4" customWidth="1"/>
    <col min="10" max="16384" width="9" style="1"/>
  </cols>
  <sheetData>
    <row r="1" spans="1:9" ht="13.5" customHeight="1" x14ac:dyDescent="0.15">
      <c r="A1" s="17" t="s">
        <v>16</v>
      </c>
      <c r="B1" s="18"/>
      <c r="C1" s="19"/>
      <c r="D1" s="19"/>
      <c r="E1" s="18"/>
      <c r="F1" s="18"/>
      <c r="G1" s="18"/>
      <c r="H1" s="18"/>
    </row>
    <row r="2" spans="1:9" ht="22.5" customHeight="1" x14ac:dyDescent="0.15">
      <c r="A2" s="18"/>
      <c r="B2" s="18"/>
      <c r="C2" s="19"/>
      <c r="D2" s="19"/>
      <c r="E2" s="18"/>
      <c r="F2" s="18"/>
      <c r="G2" s="18"/>
      <c r="H2" s="18"/>
    </row>
    <row r="3" spans="1:9" ht="25.5" x14ac:dyDescent="0.3">
      <c r="A3" s="21"/>
      <c r="B3" s="22"/>
      <c r="C3" s="23"/>
      <c r="D3" s="23"/>
      <c r="E3" s="22"/>
      <c r="F3" s="22"/>
      <c r="G3" s="22"/>
      <c r="H3" s="22"/>
    </row>
    <row r="4" spans="1:9" ht="14.25" x14ac:dyDescent="0.15">
      <c r="A4" s="24" t="s">
        <v>0</v>
      </c>
      <c r="B4" s="24" t="s">
        <v>1</v>
      </c>
      <c r="C4" s="24" t="s">
        <v>2</v>
      </c>
      <c r="D4" s="24" t="s">
        <v>3</v>
      </c>
      <c r="E4" s="25"/>
      <c r="F4" s="25" t="s">
        <v>4</v>
      </c>
      <c r="G4" s="25"/>
      <c r="H4" s="26" t="s">
        <v>5</v>
      </c>
    </row>
    <row r="5" spans="1:9" s="2" customFormat="1" ht="42.75" x14ac:dyDescent="0.15">
      <c r="A5" s="24"/>
      <c r="B5" s="24"/>
      <c r="C5" s="24"/>
      <c r="D5" s="5" t="s">
        <v>6</v>
      </c>
      <c r="E5" s="6" t="s">
        <v>7</v>
      </c>
      <c r="F5" s="6" t="s">
        <v>8</v>
      </c>
      <c r="G5" s="6" t="s">
        <v>9</v>
      </c>
      <c r="H5" s="27"/>
      <c r="I5" s="13"/>
    </row>
    <row r="6" spans="1:9" s="2" customFormat="1" ht="24.75" customHeight="1" x14ac:dyDescent="0.15">
      <c r="A6" s="5">
        <v>1</v>
      </c>
      <c r="B6" s="7" t="s">
        <v>10</v>
      </c>
      <c r="C6" s="7">
        <v>18</v>
      </c>
      <c r="D6" s="7">
        <v>30</v>
      </c>
      <c r="E6" s="7">
        <v>3500</v>
      </c>
      <c r="F6" s="5"/>
      <c r="G6" s="5"/>
      <c r="H6" s="8">
        <f t="shared" ref="H6:H11" si="0">C6*E6</f>
        <v>63000</v>
      </c>
      <c r="I6" s="13"/>
    </row>
    <row r="7" spans="1:9" s="2" customFormat="1" ht="24.75" customHeight="1" x14ac:dyDescent="0.15">
      <c r="A7" s="5">
        <v>2</v>
      </c>
      <c r="B7" s="7" t="s">
        <v>10</v>
      </c>
      <c r="C7" s="7">
        <v>15</v>
      </c>
      <c r="D7" s="7">
        <v>30</v>
      </c>
      <c r="E7" s="7">
        <v>3500</v>
      </c>
      <c r="F7" s="5"/>
      <c r="G7" s="5"/>
      <c r="H7" s="8">
        <f t="shared" si="0"/>
        <v>52500</v>
      </c>
      <c r="I7" s="13"/>
    </row>
    <row r="8" spans="1:9" s="2" customFormat="1" ht="24.75" customHeight="1" x14ac:dyDescent="0.15">
      <c r="A8" s="5">
        <v>3</v>
      </c>
      <c r="B8" s="7" t="s">
        <v>11</v>
      </c>
      <c r="C8" s="7">
        <v>120</v>
      </c>
      <c r="D8" s="7">
        <v>30</v>
      </c>
      <c r="E8" s="7">
        <v>50</v>
      </c>
      <c r="F8" s="5"/>
      <c r="G8" s="5"/>
      <c r="H8" s="8">
        <f t="shared" si="0"/>
        <v>6000</v>
      </c>
      <c r="I8" s="13"/>
    </row>
    <row r="9" spans="1:9" s="2" customFormat="1" ht="24.75" customHeight="1" x14ac:dyDescent="0.15">
      <c r="A9" s="5">
        <v>4</v>
      </c>
      <c r="B9" s="7" t="s">
        <v>12</v>
      </c>
      <c r="C9" s="7">
        <v>4</v>
      </c>
      <c r="D9" s="7">
        <v>30</v>
      </c>
      <c r="E9" s="7">
        <v>4000</v>
      </c>
      <c r="F9" s="5"/>
      <c r="G9" s="5"/>
      <c r="H9" s="8">
        <f t="shared" si="0"/>
        <v>16000</v>
      </c>
      <c r="I9" s="13"/>
    </row>
    <row r="10" spans="1:9" s="2" customFormat="1" ht="24.75" customHeight="1" x14ac:dyDescent="0.15">
      <c r="A10" s="5">
        <v>5</v>
      </c>
      <c r="B10" s="7" t="s">
        <v>10</v>
      </c>
      <c r="C10" s="7">
        <v>19</v>
      </c>
      <c r="D10" s="7">
        <v>30</v>
      </c>
      <c r="E10" s="7">
        <v>3500</v>
      </c>
      <c r="F10" s="5"/>
      <c r="G10" s="9"/>
      <c r="H10" s="8">
        <f t="shared" si="0"/>
        <v>66500</v>
      </c>
      <c r="I10" s="13"/>
    </row>
    <row r="11" spans="1:9" s="2" customFormat="1" ht="24.75" customHeight="1" x14ac:dyDescent="0.15">
      <c r="A11" s="5">
        <v>6</v>
      </c>
      <c r="B11" s="5" t="s">
        <v>10</v>
      </c>
      <c r="C11" s="5">
        <v>6</v>
      </c>
      <c r="D11" s="7">
        <v>30</v>
      </c>
      <c r="E11" s="7">
        <v>3500</v>
      </c>
      <c r="F11" s="5"/>
      <c r="G11" s="5"/>
      <c r="H11" s="8">
        <f t="shared" si="0"/>
        <v>21000</v>
      </c>
      <c r="I11" s="13"/>
    </row>
    <row r="12" spans="1:9" s="2" customFormat="1" ht="24.75" customHeight="1" x14ac:dyDescent="0.15">
      <c r="A12" s="10">
        <v>7</v>
      </c>
      <c r="B12" s="10" t="s">
        <v>10</v>
      </c>
      <c r="C12" s="10">
        <v>8</v>
      </c>
      <c r="D12" s="7">
        <v>30</v>
      </c>
      <c r="E12" s="10">
        <v>3500</v>
      </c>
      <c r="F12" s="10">
        <v>61</v>
      </c>
      <c r="G12" s="10">
        <v>230</v>
      </c>
      <c r="H12" s="8">
        <f>C12*E12+F12*G12</f>
        <v>42030</v>
      </c>
      <c r="I12" s="13"/>
    </row>
    <row r="13" spans="1:9" s="2" customFormat="1" ht="24.75" customHeight="1" x14ac:dyDescent="0.15">
      <c r="A13" s="5">
        <v>8</v>
      </c>
      <c r="B13" s="5" t="s">
        <v>11</v>
      </c>
      <c r="C13" s="5">
        <v>252</v>
      </c>
      <c r="D13" s="7">
        <v>30</v>
      </c>
      <c r="E13" s="5">
        <v>50</v>
      </c>
      <c r="F13" s="5"/>
      <c r="G13" s="5"/>
      <c r="H13" s="8">
        <f>C13*E13</f>
        <v>12600</v>
      </c>
      <c r="I13" s="13"/>
    </row>
    <row r="14" spans="1:9" s="2" customFormat="1" ht="24.75" customHeight="1" x14ac:dyDescent="0.15">
      <c r="A14" s="5">
        <v>9</v>
      </c>
      <c r="B14" s="7" t="s">
        <v>10</v>
      </c>
      <c r="C14" s="5">
        <v>1</v>
      </c>
      <c r="D14" s="7">
        <v>30</v>
      </c>
      <c r="E14" s="5">
        <v>3500</v>
      </c>
      <c r="F14" s="5"/>
      <c r="G14" s="5"/>
      <c r="H14" s="8">
        <f t="shared" ref="H14:H22" si="1">C14*E14</f>
        <v>3500</v>
      </c>
      <c r="I14" s="13"/>
    </row>
    <row r="15" spans="1:9" s="2" customFormat="1" ht="24.75" customHeight="1" x14ac:dyDescent="0.15">
      <c r="A15" s="5">
        <v>10</v>
      </c>
      <c r="B15" s="7" t="s">
        <v>10</v>
      </c>
      <c r="C15" s="5">
        <v>16</v>
      </c>
      <c r="D15" s="7">
        <v>30</v>
      </c>
      <c r="E15" s="5">
        <v>3500</v>
      </c>
      <c r="F15" s="5"/>
      <c r="G15" s="5"/>
      <c r="H15" s="8">
        <f t="shared" si="1"/>
        <v>56000</v>
      </c>
      <c r="I15" s="13"/>
    </row>
    <row r="16" spans="1:9" s="2" customFormat="1" ht="24.75" customHeight="1" x14ac:dyDescent="0.15">
      <c r="A16" s="5">
        <v>11</v>
      </c>
      <c r="B16" s="7" t="s">
        <v>10</v>
      </c>
      <c r="C16" s="5">
        <v>20</v>
      </c>
      <c r="D16" s="7">
        <v>30</v>
      </c>
      <c r="E16" s="5">
        <v>3500</v>
      </c>
      <c r="F16" s="5"/>
      <c r="G16" s="5"/>
      <c r="H16" s="8">
        <f t="shared" si="1"/>
        <v>70000</v>
      </c>
      <c r="I16" s="13"/>
    </row>
    <row r="17" spans="1:9" s="2" customFormat="1" ht="24.75" customHeight="1" x14ac:dyDescent="0.15">
      <c r="A17" s="5">
        <v>12</v>
      </c>
      <c r="B17" s="7" t="s">
        <v>10</v>
      </c>
      <c r="C17" s="5">
        <v>2</v>
      </c>
      <c r="D17" s="7">
        <v>30</v>
      </c>
      <c r="E17" s="5">
        <v>3500</v>
      </c>
      <c r="F17" s="5"/>
      <c r="G17" s="5"/>
      <c r="H17" s="8">
        <f t="shared" si="1"/>
        <v>7000</v>
      </c>
      <c r="I17" s="13"/>
    </row>
    <row r="18" spans="1:9" s="2" customFormat="1" ht="24.75" customHeight="1" x14ac:dyDescent="0.15">
      <c r="A18" s="5">
        <v>13</v>
      </c>
      <c r="B18" s="7" t="s">
        <v>10</v>
      </c>
      <c r="C18" s="5">
        <v>1</v>
      </c>
      <c r="D18" s="7">
        <v>30</v>
      </c>
      <c r="E18" s="5">
        <v>3500</v>
      </c>
      <c r="F18" s="5"/>
      <c r="G18" s="5"/>
      <c r="H18" s="8">
        <f t="shared" si="1"/>
        <v>3500</v>
      </c>
      <c r="I18" s="13"/>
    </row>
    <row r="19" spans="1:9" s="2" customFormat="1" ht="24.75" customHeight="1" x14ac:dyDescent="0.15">
      <c r="A19" s="5">
        <v>14</v>
      </c>
      <c r="B19" s="7" t="s">
        <v>10</v>
      </c>
      <c r="C19" s="5">
        <v>12</v>
      </c>
      <c r="D19" s="7">
        <v>30</v>
      </c>
      <c r="E19" s="5">
        <v>3500</v>
      </c>
      <c r="F19" s="5"/>
      <c r="G19" s="5"/>
      <c r="H19" s="8">
        <f t="shared" si="1"/>
        <v>42000</v>
      </c>
      <c r="I19" s="13"/>
    </row>
    <row r="20" spans="1:9" s="2" customFormat="1" ht="24.75" customHeight="1" x14ac:dyDescent="0.15">
      <c r="A20" s="5">
        <v>15</v>
      </c>
      <c r="B20" s="7" t="s">
        <v>10</v>
      </c>
      <c r="C20" s="5">
        <v>2</v>
      </c>
      <c r="D20" s="7">
        <v>30</v>
      </c>
      <c r="E20" s="5">
        <v>3500</v>
      </c>
      <c r="F20" s="5"/>
      <c r="G20" s="5"/>
      <c r="H20" s="8">
        <f t="shared" si="1"/>
        <v>7000</v>
      </c>
      <c r="I20" s="13"/>
    </row>
    <row r="21" spans="1:9" s="2" customFormat="1" ht="24.75" customHeight="1" x14ac:dyDescent="0.15">
      <c r="A21" s="5">
        <v>16</v>
      </c>
      <c r="B21" s="7" t="s">
        <v>10</v>
      </c>
      <c r="C21" s="5">
        <v>1</v>
      </c>
      <c r="D21" s="7">
        <v>30</v>
      </c>
      <c r="E21" s="5">
        <v>3500</v>
      </c>
      <c r="F21" s="5"/>
      <c r="G21" s="5"/>
      <c r="H21" s="8">
        <f t="shared" si="1"/>
        <v>3500</v>
      </c>
      <c r="I21" s="13"/>
    </row>
    <row r="22" spans="1:9" s="2" customFormat="1" ht="24.75" customHeight="1" x14ac:dyDescent="0.15">
      <c r="A22" s="5">
        <v>17</v>
      </c>
      <c r="B22" s="7" t="s">
        <v>10</v>
      </c>
      <c r="C22" s="5">
        <v>13</v>
      </c>
      <c r="D22" s="7">
        <v>30</v>
      </c>
      <c r="E22" s="5">
        <v>3500</v>
      </c>
      <c r="F22" s="5"/>
      <c r="G22" s="5"/>
      <c r="H22" s="8">
        <f t="shared" si="1"/>
        <v>45500</v>
      </c>
      <c r="I22" s="13"/>
    </row>
    <row r="23" spans="1:9" s="2" customFormat="1" ht="24.75" customHeight="1" x14ac:dyDescent="0.15">
      <c r="A23" s="5">
        <v>18</v>
      </c>
      <c r="B23" s="7" t="s">
        <v>10</v>
      </c>
      <c r="C23" s="5">
        <v>6</v>
      </c>
      <c r="D23" s="7">
        <v>30</v>
      </c>
      <c r="E23" s="5">
        <v>3500</v>
      </c>
      <c r="F23" s="5"/>
      <c r="G23" s="5"/>
      <c r="H23" s="8">
        <v>21000</v>
      </c>
      <c r="I23" s="13"/>
    </row>
    <row r="24" spans="1:9" s="2" customFormat="1" ht="24.75" customHeight="1" x14ac:dyDescent="0.15">
      <c r="A24" s="5">
        <v>19</v>
      </c>
      <c r="B24" s="7" t="s">
        <v>10</v>
      </c>
      <c r="C24" s="5">
        <v>18</v>
      </c>
      <c r="D24" s="7">
        <v>30</v>
      </c>
      <c r="E24" s="5">
        <v>3500</v>
      </c>
      <c r="F24" s="5"/>
      <c r="G24" s="5"/>
      <c r="H24" s="8">
        <v>63000</v>
      </c>
      <c r="I24" s="13"/>
    </row>
    <row r="25" spans="1:9" s="2" customFormat="1" ht="24.75" customHeight="1" x14ac:dyDescent="0.15">
      <c r="A25" s="5">
        <v>21</v>
      </c>
      <c r="B25" s="7" t="s">
        <v>10</v>
      </c>
      <c r="C25" s="5">
        <v>2</v>
      </c>
      <c r="D25" s="7">
        <v>3</v>
      </c>
      <c r="E25" s="5">
        <v>3500</v>
      </c>
      <c r="F25" s="5"/>
      <c r="G25" s="5"/>
      <c r="H25" s="8">
        <v>700</v>
      </c>
      <c r="I25" s="13"/>
    </row>
    <row r="26" spans="1:9" s="15" customFormat="1" ht="24.75" customHeight="1" x14ac:dyDescent="0.15">
      <c r="A26" s="16">
        <v>22</v>
      </c>
      <c r="B26" s="7" t="s">
        <v>10</v>
      </c>
      <c r="C26" s="16">
        <v>7</v>
      </c>
      <c r="D26" s="7">
        <v>4</v>
      </c>
      <c r="E26" s="16">
        <v>3500</v>
      </c>
      <c r="F26" s="16"/>
      <c r="G26" s="16"/>
      <c r="H26" s="8">
        <v>3267</v>
      </c>
      <c r="I26" s="13"/>
    </row>
    <row r="27" spans="1:9" s="15" customFormat="1" ht="24.75" customHeight="1" x14ac:dyDescent="0.15">
      <c r="A27" s="16">
        <v>23</v>
      </c>
      <c r="B27" s="7" t="s">
        <v>10</v>
      </c>
      <c r="C27" s="16">
        <v>2</v>
      </c>
      <c r="D27" s="7">
        <v>16</v>
      </c>
      <c r="E27" s="16">
        <v>3500</v>
      </c>
      <c r="F27" s="16"/>
      <c r="G27" s="16"/>
      <c r="H27" s="8">
        <v>3733</v>
      </c>
      <c r="I27" s="13"/>
    </row>
    <row r="28" spans="1:9" s="2" customFormat="1" ht="30" customHeight="1" x14ac:dyDescent="0.15">
      <c r="A28" s="5" t="s">
        <v>13</v>
      </c>
      <c r="B28" s="24" t="s">
        <v>14</v>
      </c>
      <c r="C28" s="24"/>
      <c r="D28" s="24"/>
      <c r="E28" s="24"/>
      <c r="F28" s="24"/>
      <c r="G28" s="24"/>
      <c r="H28" s="14">
        <f>SUM(H6:H27)</f>
        <v>609330</v>
      </c>
      <c r="I28" s="13"/>
    </row>
    <row r="29" spans="1:9" s="2" customFormat="1" ht="14.25" x14ac:dyDescent="0.15">
      <c r="A29" s="11"/>
      <c r="B29" s="11"/>
      <c r="C29" s="11"/>
      <c r="D29" s="11"/>
      <c r="E29" s="11"/>
      <c r="F29" s="11"/>
      <c r="G29" s="11"/>
      <c r="H29" s="12"/>
      <c r="I29" s="13"/>
    </row>
    <row r="30" spans="1:9" s="2" customFormat="1" x14ac:dyDescent="0.15">
      <c r="A30" s="20" t="s">
        <v>15</v>
      </c>
      <c r="B30" s="20"/>
      <c r="C30" s="20"/>
      <c r="D30" s="20"/>
      <c r="E30" s="20"/>
      <c r="F30" s="20"/>
      <c r="G30" s="20"/>
      <c r="H30" s="20"/>
      <c r="I30" s="13"/>
    </row>
    <row r="31" spans="1:9" s="2" customFormat="1" x14ac:dyDescent="0.15">
      <c r="A31" s="20"/>
      <c r="B31" s="20"/>
      <c r="C31" s="20"/>
      <c r="D31" s="20"/>
      <c r="E31" s="20"/>
      <c r="F31" s="20"/>
      <c r="G31" s="20"/>
      <c r="H31" s="20"/>
      <c r="I31" s="13"/>
    </row>
  </sheetData>
  <mergeCells count="10">
    <mergeCell ref="A1:H2"/>
    <mergeCell ref="A30:H31"/>
    <mergeCell ref="A3:H3"/>
    <mergeCell ref="D4:E4"/>
    <mergeCell ref="F4:G4"/>
    <mergeCell ref="B28:G28"/>
    <mergeCell ref="A4:A5"/>
    <mergeCell ref="B4:B5"/>
    <mergeCell ref="C4:C5"/>
    <mergeCell ref="H4:H5"/>
  </mergeCells>
  <phoneticPr fontId="4" type="noConversion"/>
  <pageMargins left="0.75" right="0.75" top="1" bottom="1" header="0.5" footer="0.5"/>
  <pageSetup paperSize="9" scale="8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19年10月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15625500170@163.com</cp:lastModifiedBy>
  <cp:lastPrinted>2019-11-07T08:01:46Z</cp:lastPrinted>
  <dcterms:created xsi:type="dcterms:W3CDTF">2006-09-16T00:00:00Z</dcterms:created>
  <dcterms:modified xsi:type="dcterms:W3CDTF">2019-12-09T01:26:26Z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