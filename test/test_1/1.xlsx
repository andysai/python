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19年10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_ "/>
  </numFmts>
  <fonts count="7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20"/>
      <scheme val="minor"/>
    </font>
    <font>
      <name val="宋体"/>
      <charset val="134"/>
      <family val="3"/>
      <color theme="1"/>
      <sz val="12"/>
      <scheme val="minor"/>
    </font>
    <font>
      <name val="宋体"/>
      <charset val="134"/>
      <family val="3"/>
      <color theme="1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28"/>
      <scheme val="minor"/>
    </font>
    <font>
      <name val="宋体"/>
      <charset val="134"/>
      <family val="3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3" fontId="2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1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 wrapText="1"/>
    </xf>
    <xf numFmtId="164" fontId="2" fillId="0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5" pivotButton="0" quotePrefix="0" xfId="0"/>
    <xf numFmtId="164" fontId="2" fillId="0" borderId="2" applyAlignment="1" pivotButton="0" quotePrefix="0" xfId="0">
      <alignment horizontal="center" wrapText="1"/>
    </xf>
    <xf numFmtId="0" fontId="0" fillId="0" borderId="9" pivotButton="0" quotePrefix="0" xfId="0"/>
    <xf numFmtId="165" fontId="0" fillId="0" borderId="0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 wrapText="1"/>
    </xf>
    <xf numFmtId="0" fontId="0" fillId="0" borderId="6" pivotButton="0" quotePrefix="0" xfId="0"/>
    <xf numFmtId="164" fontId="6" fillId="0" borderId="2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Medium9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tabSelected="1" zoomScale="70" zoomScaleNormal="70" workbookViewId="0">
      <selection activeCell="P5" sqref="P5"/>
    </sheetView>
  </sheetViews>
  <sheetFormatPr baseColWidth="8" defaultColWidth="9" defaultRowHeight="13.5"/>
  <cols>
    <col width="7.625" customWidth="1" style="18" min="1" max="1"/>
    <col width="11.625" customWidth="1" style="18" min="2" max="2"/>
    <col width="8.5" customWidth="1" style="19" min="3" max="3"/>
    <col width="12.125" customWidth="1" style="19" min="4" max="4"/>
    <col width="13.625" customWidth="1" style="18" min="5" max="5"/>
    <col width="9.875" customWidth="1" style="18" min="6" max="6"/>
    <col width="10.875" customWidth="1" style="18" min="7" max="7"/>
    <col width="14.25" customWidth="1" style="28" min="8" max="8"/>
    <col width="15.625" customWidth="1" style="29" min="9" max="9"/>
    <col width="9" customWidth="1" style="18" min="10" max="16384"/>
  </cols>
  <sheetData>
    <row r="1" ht="13.5" customHeight="1">
      <c r="A1" s="17" t="inlineStr">
        <is>
          <t>2019年11</t>
        </is>
      </c>
    </row>
    <row r="2" ht="22.5" customHeight="1"/>
    <row r="3" ht="25.5" customHeight="1">
      <c r="A3" s="21" t="n"/>
      <c r="B3" s="30" t="n"/>
      <c r="C3" s="30" t="n"/>
      <c r="D3" s="30" t="n"/>
      <c r="E3" s="30" t="n"/>
      <c r="F3" s="30" t="n"/>
      <c r="G3" s="30" t="n"/>
      <c r="H3" s="30" t="n"/>
    </row>
    <row r="4" ht="14.25" customHeight="1">
      <c r="A4" s="24" t="inlineStr">
        <is>
          <t>序号</t>
        </is>
      </c>
      <c r="B4" s="24" t="inlineStr">
        <is>
          <t>项目</t>
        </is>
      </c>
      <c r="C4" s="24" t="inlineStr">
        <is>
          <t>数量</t>
        </is>
      </c>
      <c r="D4" s="24" t="inlineStr">
        <is>
          <t>固定服务费</t>
        </is>
      </c>
      <c r="E4" s="31" t="n"/>
      <c r="F4" s="25" t="inlineStr">
        <is>
          <t>浮动服务费</t>
        </is>
      </c>
      <c r="G4" s="31" t="n"/>
      <c r="H4" s="32" t="inlineStr">
        <is>
          <t>月服务费用
（含税，单位：元）</t>
        </is>
      </c>
    </row>
    <row r="5" ht="42.75" customFormat="1" customHeight="1" s="19">
      <c r="A5" s="33" t="n"/>
      <c r="B5" s="33" t="n"/>
      <c r="C5" s="33" t="n"/>
      <c r="D5" s="24" t="inlineStr">
        <is>
          <t>当月运行天数</t>
        </is>
      </c>
      <c r="E5" s="6" t="inlineStr">
        <is>
          <t>固定服务费
结算（元/柜）</t>
        </is>
      </c>
      <c r="F5" s="6" t="inlineStr">
        <is>
          <t>机架超出
电量(A)</t>
        </is>
      </c>
      <c r="G5" s="6" t="inlineStr">
        <is>
          <t>浮动服务费结算（元/A）</t>
        </is>
      </c>
      <c r="H5" s="33" t="n"/>
      <c r="I5" s="34" t="n"/>
    </row>
    <row r="6" ht="24.75" customFormat="1" customHeight="1" s="19">
      <c r="A6" s="24" t="n">
        <v>1</v>
      </c>
      <c r="B6" s="7" t="inlineStr">
        <is>
          <t>10A机柜</t>
        </is>
      </c>
      <c r="C6" s="7" t="n">
        <v>18</v>
      </c>
      <c r="D6" s="7" t="n">
        <v>30</v>
      </c>
      <c r="E6" s="7" t="n">
        <v>3500</v>
      </c>
      <c r="F6" s="24" t="n"/>
      <c r="G6" s="24" t="n"/>
      <c r="H6" s="35">
        <f>C6*E6</f>
        <v/>
      </c>
      <c r="I6" s="34" t="n">
        <v>63000</v>
      </c>
    </row>
    <row r="7" ht="24.75" customFormat="1" customHeight="1" s="19">
      <c r="A7" s="24" t="n">
        <v>2</v>
      </c>
      <c r="B7" s="7" t="inlineStr">
        <is>
          <t>10A机柜</t>
        </is>
      </c>
      <c r="C7" s="7" t="n">
        <v>15</v>
      </c>
      <c r="D7" s="7" t="n">
        <v>30</v>
      </c>
      <c r="E7" s="7" t="n">
        <v>3500</v>
      </c>
      <c r="F7" s="24" t="n"/>
      <c r="G7" s="24" t="n"/>
      <c r="H7" s="35">
        <f>C7*E7</f>
        <v/>
      </c>
      <c r="I7" s="34" t="n">
        <v>52500</v>
      </c>
    </row>
    <row r="8" ht="24.75" customFormat="1" customHeight="1" s="19">
      <c r="A8" s="24" t="n">
        <v>3</v>
      </c>
      <c r="B8" s="7" t="inlineStr">
        <is>
          <t>ODF架（U）</t>
        </is>
      </c>
      <c r="C8" s="7" t="n">
        <v>120</v>
      </c>
      <c r="D8" s="7" t="n">
        <v>30</v>
      </c>
      <c r="E8" s="7" t="n">
        <v>50</v>
      </c>
      <c r="F8" s="24" t="n"/>
      <c r="G8" s="24" t="n"/>
      <c r="H8" s="35">
        <f>C8*E8</f>
        <v/>
      </c>
      <c r="I8" s="34" t="n">
        <v>6000</v>
      </c>
    </row>
    <row r="9" ht="24.75" customFormat="1" customHeight="1" s="19">
      <c r="A9" s="24" t="n">
        <v>4</v>
      </c>
      <c r="B9" s="7" t="inlineStr">
        <is>
          <t>13A机柜</t>
        </is>
      </c>
      <c r="C9" s="7" t="n">
        <v>4</v>
      </c>
      <c r="D9" s="7" t="n">
        <v>30</v>
      </c>
      <c r="E9" s="7" t="n">
        <v>4000</v>
      </c>
      <c r="F9" s="24" t="n"/>
      <c r="G9" s="24" t="n"/>
      <c r="H9" s="35">
        <f>C9*E9</f>
        <v/>
      </c>
      <c r="I9" s="34" t="n">
        <v>16000</v>
      </c>
    </row>
    <row r="10" ht="24.75" customFormat="1" customHeight="1" s="19">
      <c r="A10" s="24" t="n">
        <v>5</v>
      </c>
      <c r="B10" s="7" t="inlineStr">
        <is>
          <t>10A机柜</t>
        </is>
      </c>
      <c r="C10" s="7" t="n">
        <v>19</v>
      </c>
      <c r="D10" s="7" t="n">
        <v>30</v>
      </c>
      <c r="E10" s="7" t="n">
        <v>3500</v>
      </c>
      <c r="F10" s="24" t="n"/>
      <c r="G10" s="9" t="n"/>
      <c r="H10" s="35">
        <f>C10*E10</f>
        <v/>
      </c>
      <c r="I10" s="34" t="n">
        <v>66500</v>
      </c>
    </row>
    <row r="11" ht="24.75" customFormat="1" customHeight="1" s="19">
      <c r="A11" s="24" t="n">
        <v>6</v>
      </c>
      <c r="B11" s="24" t="inlineStr">
        <is>
          <t>10A机柜</t>
        </is>
      </c>
      <c r="C11" s="24" t="n">
        <v>6</v>
      </c>
      <c r="D11" s="7" t="n">
        <v>30</v>
      </c>
      <c r="E11" s="7" t="n">
        <v>3500</v>
      </c>
      <c r="F11" s="24" t="n"/>
      <c r="G11" s="24" t="n"/>
      <c r="H11" s="35">
        <f>C11*E11</f>
        <v/>
      </c>
      <c r="I11" s="34" t="n">
        <v>21000</v>
      </c>
    </row>
    <row r="12" ht="24.75" customFormat="1" customHeight="1" s="19">
      <c r="A12" s="10" t="n">
        <v>7</v>
      </c>
      <c r="B12" s="10" t="inlineStr">
        <is>
          <t>10A机柜</t>
        </is>
      </c>
      <c r="C12" s="10" t="n">
        <v>8</v>
      </c>
      <c r="D12" s="7" t="n">
        <v>30</v>
      </c>
      <c r="E12" s="10" t="n">
        <v>3500</v>
      </c>
      <c r="F12" s="10" t="n">
        <v>61</v>
      </c>
      <c r="G12" s="10" t="n">
        <v>230</v>
      </c>
      <c r="H12" s="35">
        <f>C12*E12+F12*G12</f>
        <v/>
      </c>
      <c r="I12" s="34" t="n">
        <v>42030</v>
      </c>
    </row>
    <row r="13" ht="24.75" customFormat="1" customHeight="1" s="19">
      <c r="A13" s="24" t="n">
        <v>8</v>
      </c>
      <c r="B13" s="24" t="inlineStr">
        <is>
          <t>ODF架（U）</t>
        </is>
      </c>
      <c r="C13" s="24" t="n">
        <v>252</v>
      </c>
      <c r="D13" s="7" t="n">
        <v>30</v>
      </c>
      <c r="E13" s="24" t="n">
        <v>50</v>
      </c>
      <c r="F13" s="24" t="n"/>
      <c r="G13" s="24" t="n"/>
      <c r="H13" s="35">
        <f>C13*E13</f>
        <v/>
      </c>
      <c r="I13" s="34" t="n">
        <v>12600</v>
      </c>
    </row>
    <row r="14" ht="24.75" customFormat="1" customHeight="1" s="19">
      <c r="A14" s="24" t="n">
        <v>9</v>
      </c>
      <c r="B14" s="7" t="inlineStr">
        <is>
          <t>10A机柜</t>
        </is>
      </c>
      <c r="C14" s="24" t="n">
        <v>1</v>
      </c>
      <c r="D14" s="7" t="n">
        <v>30</v>
      </c>
      <c r="E14" s="24" t="n">
        <v>3500</v>
      </c>
      <c r="F14" s="24" t="n"/>
      <c r="G14" s="24" t="n"/>
      <c r="H14" s="35">
        <f>C14*E14</f>
        <v/>
      </c>
      <c r="I14" s="34" t="n">
        <v>3500</v>
      </c>
    </row>
    <row r="15" ht="24.75" customFormat="1" customHeight="1" s="19">
      <c r="A15" s="24" t="n">
        <v>10</v>
      </c>
      <c r="B15" s="7" t="inlineStr">
        <is>
          <t>10A机柜</t>
        </is>
      </c>
      <c r="C15" s="24" t="n">
        <v>16</v>
      </c>
      <c r="D15" s="7" t="n">
        <v>30</v>
      </c>
      <c r="E15" s="24" t="n">
        <v>3500</v>
      </c>
      <c r="F15" s="24" t="n"/>
      <c r="G15" s="24" t="n"/>
      <c r="H15" s="35">
        <f>C15*E15</f>
        <v/>
      </c>
      <c r="I15" s="34" t="n">
        <v>56000</v>
      </c>
    </row>
    <row r="16" ht="24.75" customFormat="1" customHeight="1" s="19">
      <c r="A16" s="24" t="n">
        <v>11</v>
      </c>
      <c r="B16" s="7" t="inlineStr">
        <is>
          <t>10A机柜</t>
        </is>
      </c>
      <c r="C16" s="24" t="n">
        <v>20</v>
      </c>
      <c r="D16" s="7" t="n">
        <v>30</v>
      </c>
      <c r="E16" s="24" t="n">
        <v>3500</v>
      </c>
      <c r="F16" s="24" t="n"/>
      <c r="G16" s="24" t="n"/>
      <c r="H16" s="35">
        <f>C16*E16</f>
        <v/>
      </c>
      <c r="I16" s="34" t="n">
        <v>70000</v>
      </c>
    </row>
    <row r="17" ht="24.75" customFormat="1" customHeight="1" s="19">
      <c r="A17" s="24" t="n">
        <v>12</v>
      </c>
      <c r="B17" s="7" t="inlineStr">
        <is>
          <t>10A机柜</t>
        </is>
      </c>
      <c r="C17" s="24" t="n">
        <v>2</v>
      </c>
      <c r="D17" s="7" t="n">
        <v>30</v>
      </c>
      <c r="E17" s="24" t="n">
        <v>3500</v>
      </c>
      <c r="F17" s="24" t="n"/>
      <c r="G17" s="24" t="n"/>
      <c r="H17" s="35">
        <f>C17*E17</f>
        <v/>
      </c>
      <c r="I17" s="34" t="n">
        <v>7000</v>
      </c>
    </row>
    <row r="18" ht="24.75" customFormat="1" customHeight="1" s="19">
      <c r="A18" s="24" t="n">
        <v>13</v>
      </c>
      <c r="B18" s="7" t="inlineStr">
        <is>
          <t>10A机柜</t>
        </is>
      </c>
      <c r="C18" s="24" t="n">
        <v>1</v>
      </c>
      <c r="D18" s="7" t="n">
        <v>30</v>
      </c>
      <c r="E18" s="24" t="n">
        <v>3500</v>
      </c>
      <c r="F18" s="24" t="n"/>
      <c r="G18" s="24" t="n"/>
      <c r="H18" s="35">
        <f>C18*E18</f>
        <v/>
      </c>
      <c r="I18" s="34" t="n">
        <v>3500</v>
      </c>
    </row>
    <row r="19" ht="24.75" customFormat="1" customHeight="1" s="19">
      <c r="A19" s="24" t="n">
        <v>14</v>
      </c>
      <c r="B19" s="7" t="inlineStr">
        <is>
          <t>10A机柜</t>
        </is>
      </c>
      <c r="C19" s="24" t="n">
        <v>12</v>
      </c>
      <c r="D19" s="7" t="n">
        <v>30</v>
      </c>
      <c r="E19" s="24" t="n">
        <v>3500</v>
      </c>
      <c r="F19" s="24" t="n"/>
      <c r="G19" s="24" t="n"/>
      <c r="H19" s="35">
        <f>C19*E19</f>
        <v/>
      </c>
      <c r="I19" s="34" t="n">
        <v>42000</v>
      </c>
    </row>
    <row r="20" ht="24.75" customFormat="1" customHeight="1" s="19">
      <c r="A20" s="24" t="n">
        <v>15</v>
      </c>
      <c r="B20" s="7" t="inlineStr">
        <is>
          <t>10A机柜</t>
        </is>
      </c>
      <c r="C20" s="24" t="n">
        <v>2</v>
      </c>
      <c r="D20" s="7" t="n">
        <v>30</v>
      </c>
      <c r="E20" s="24" t="n">
        <v>3500</v>
      </c>
      <c r="F20" s="24" t="n"/>
      <c r="G20" s="24" t="n"/>
      <c r="H20" s="35">
        <f>C20*E20</f>
        <v/>
      </c>
      <c r="I20" s="34" t="n">
        <v>7000</v>
      </c>
    </row>
    <row r="21" ht="24.75" customFormat="1" customHeight="1" s="19">
      <c r="A21" s="24" t="n">
        <v>16</v>
      </c>
      <c r="B21" s="7" t="inlineStr">
        <is>
          <t>10A机柜</t>
        </is>
      </c>
      <c r="C21" s="24" t="n">
        <v>1</v>
      </c>
      <c r="D21" s="7" t="n">
        <v>30</v>
      </c>
      <c r="E21" s="24" t="n">
        <v>3500</v>
      </c>
      <c r="F21" s="24" t="n"/>
      <c r="G21" s="24" t="n"/>
      <c r="H21" s="35">
        <f>C21*E21</f>
        <v/>
      </c>
      <c r="I21" s="34" t="n">
        <v>3500</v>
      </c>
    </row>
    <row r="22" ht="24.75" customFormat="1" customHeight="1" s="19">
      <c r="A22" s="24" t="n">
        <v>17</v>
      </c>
      <c r="B22" s="7" t="inlineStr">
        <is>
          <t>10A机柜</t>
        </is>
      </c>
      <c r="C22" s="24" t="n">
        <v>13</v>
      </c>
      <c r="D22" s="7" t="n">
        <v>30</v>
      </c>
      <c r="E22" s="24" t="n">
        <v>3500</v>
      </c>
      <c r="F22" s="24" t="n"/>
      <c r="G22" s="24" t="n"/>
      <c r="H22" s="35">
        <f>C22*E22</f>
        <v/>
      </c>
      <c r="I22" s="34" t="n">
        <v>45500</v>
      </c>
    </row>
    <row r="23" ht="24.75" customFormat="1" customHeight="1" s="19">
      <c r="A23" s="24" t="n">
        <v>18</v>
      </c>
      <c r="B23" s="7" t="inlineStr">
        <is>
          <t>10A机柜</t>
        </is>
      </c>
      <c r="C23" s="24" t="n">
        <v>6</v>
      </c>
      <c r="D23" s="7" t="n">
        <v>30</v>
      </c>
      <c r="E23" s="24" t="n">
        <v>3500</v>
      </c>
      <c r="F23" s="24" t="n"/>
      <c r="G23" s="24" t="n"/>
      <c r="H23" s="35" t="n">
        <v>21000</v>
      </c>
      <c r="I23" s="34" t="n">
        <v>21000</v>
      </c>
    </row>
    <row r="24" ht="24.75" customFormat="1" customHeight="1" s="19">
      <c r="A24" s="24" t="n">
        <v>19</v>
      </c>
      <c r="B24" s="7" t="inlineStr">
        <is>
          <t>10A机柜</t>
        </is>
      </c>
      <c r="C24" s="24" t="n">
        <v>18</v>
      </c>
      <c r="D24" s="7" t="n">
        <v>30</v>
      </c>
      <c r="E24" s="24" t="n">
        <v>3500</v>
      </c>
      <c r="F24" s="24" t="n"/>
      <c r="G24" s="24" t="n"/>
      <c r="H24" s="35" t="n">
        <v>63000</v>
      </c>
      <c r="I24" s="34" t="n">
        <v>63000</v>
      </c>
    </row>
    <row r="25" ht="24.75" customFormat="1" customHeight="1" s="19">
      <c r="A25" s="24" t="n">
        <v>21</v>
      </c>
      <c r="B25" s="7" t="inlineStr">
        <is>
          <t>10A机柜</t>
        </is>
      </c>
      <c r="C25" s="24" t="n">
        <v>2</v>
      </c>
      <c r="D25" s="7" t="n">
        <v>3</v>
      </c>
      <c r="E25" s="24" t="n">
        <v>3500</v>
      </c>
      <c r="F25" s="24" t="n"/>
      <c r="G25" s="24" t="n"/>
      <c r="H25" s="35" t="n">
        <v>700</v>
      </c>
      <c r="I25" s="34" t="n">
        <v>700</v>
      </c>
    </row>
    <row r="26" ht="24.75" customFormat="1" customHeight="1" s="19">
      <c r="A26" s="24" t="n">
        <v>22</v>
      </c>
      <c r="B26" s="7" t="inlineStr">
        <is>
          <t>10A机柜</t>
        </is>
      </c>
      <c r="C26" s="24" t="n">
        <v>7</v>
      </c>
      <c r="D26" s="7" t="n">
        <v>4</v>
      </c>
      <c r="E26" s="24" t="n">
        <v>3500</v>
      </c>
      <c r="F26" s="24" t="n"/>
      <c r="G26" s="24" t="n"/>
      <c r="H26" s="35" t="n">
        <v>3267</v>
      </c>
      <c r="I26" s="34" t="n">
        <v>3267</v>
      </c>
    </row>
    <row r="27" ht="24.75" customFormat="1" customHeight="1" s="19">
      <c r="A27" s="24" t="n">
        <v>23</v>
      </c>
      <c r="B27" s="7" t="inlineStr">
        <is>
          <t>10A机柜</t>
        </is>
      </c>
      <c r="C27" s="24" t="n">
        <v>2</v>
      </c>
      <c r="D27" s="7" t="n">
        <v>16</v>
      </c>
      <c r="E27" s="24" t="n">
        <v>3500</v>
      </c>
      <c r="F27" s="24" t="n"/>
      <c r="G27" s="24" t="n"/>
      <c r="H27" s="35" t="n">
        <v>3733</v>
      </c>
      <c r="I27" s="34" t="n">
        <v>3733</v>
      </c>
    </row>
    <row r="28" ht="30" customFormat="1" customHeight="1" s="19">
      <c r="A28" s="24" t="inlineStr">
        <is>
          <t>合计</t>
        </is>
      </c>
      <c r="B28" s="24" t="inlineStr">
        <is>
          <t>月度结算费用（含税）</t>
        </is>
      </c>
      <c r="C28" s="36" t="n"/>
      <c r="D28" s="36" t="n"/>
      <c r="E28" s="36" t="n"/>
      <c r="F28" s="36" t="n"/>
      <c r="G28" s="31" t="n"/>
      <c r="H28" s="37">
        <f>SUM(H6:H27)</f>
        <v/>
      </c>
      <c r="I28" s="34" t="n">
        <v>609330</v>
      </c>
    </row>
    <row r="29" ht="14.25" customFormat="1" customHeight="1" s="19">
      <c r="A29" s="20" t="n"/>
      <c r="B29" s="20" t="n"/>
      <c r="C29" s="20" t="n"/>
      <c r="D29" s="20" t="n"/>
      <c r="E29" s="20" t="n"/>
      <c r="F29" s="20" t="n"/>
      <c r="G29" s="20" t="n"/>
      <c r="H29" s="38" t="n"/>
      <c r="I29" s="34" t="n"/>
    </row>
    <row r="30" customFormat="1" s="19">
      <c r="A30" s="20" t="inlineStr">
        <is>
          <t>甲方签字盖章：                                乙方签字盖章：</t>
        </is>
      </c>
      <c r="I30" s="34" t="n"/>
    </row>
    <row r="31" customFormat="1" s="19">
      <c r="I31" s="34" t="n"/>
    </row>
  </sheetData>
  <mergeCells count="10">
    <mergeCell ref="A1:H2"/>
    <mergeCell ref="A30:H31"/>
    <mergeCell ref="A3:H3"/>
    <mergeCell ref="D4:E4"/>
    <mergeCell ref="F4:G4"/>
    <mergeCell ref="B28:G28"/>
    <mergeCell ref="A4:A5"/>
    <mergeCell ref="B4:B5"/>
    <mergeCell ref="C4:C5"/>
    <mergeCell ref="H4:H5"/>
  </mergeCells>
  <pageMargins left="0.75" right="0.75" top="1" bottom="1" header="0.5" footer="0.5"/>
  <pageSetup orientation="portrait" paperSize="9" scale="87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2019-12-09T07:45:20Z</dcterms:modified>
  <cp:lastModifiedBy>andy sai</cp:lastModifiedBy>
  <cp:lastPrinted>2019-11-07T08:01:46Z</cp:lastPrinted>
</cp:coreProperties>
</file>